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dmanhdz/Documents/"/>
    </mc:Choice>
  </mc:AlternateContent>
  <xr:revisionPtr revIDLastSave="0" documentId="13_ncr:1_{FDB1B5CC-F21E-E244-BE16-90FC336E6A7E}" xr6:coauthVersionLast="37" xr6:coauthVersionMax="37" xr10:uidLastSave="{00000000-0000-0000-0000-000000000000}"/>
  <bookViews>
    <workbookView xWindow="0" yWindow="720" windowWidth="29400" windowHeight="18400" xr2:uid="{1DD7A121-8FA0-C441-84E0-EE34BA967487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2" i="1"/>
  <c r="F3" i="1" l="1"/>
  <c r="K3" i="1" s="1"/>
  <c r="F4" i="1"/>
  <c r="K4" i="1" s="1"/>
  <c r="F5" i="1"/>
  <c r="K5" i="1" s="1"/>
  <c r="F6" i="1"/>
  <c r="K6" i="1" s="1"/>
  <c r="F7" i="1"/>
  <c r="K7" i="1" s="1"/>
  <c r="F8" i="1"/>
  <c r="K8" i="1" s="1"/>
  <c r="F9" i="1"/>
  <c r="K9" i="1" s="1"/>
  <c r="F10" i="1"/>
  <c r="K10" i="1" s="1"/>
  <c r="F11" i="1"/>
  <c r="K11" i="1" s="1"/>
  <c r="F12" i="1"/>
  <c r="K12" i="1" s="1"/>
  <c r="F13" i="1"/>
  <c r="K13" i="1" s="1"/>
  <c r="F14" i="1"/>
  <c r="K14" i="1" s="1"/>
  <c r="F15" i="1"/>
  <c r="K15" i="1" s="1"/>
  <c r="F16" i="1"/>
  <c r="K16" i="1" s="1"/>
  <c r="F17" i="1"/>
  <c r="K17" i="1" s="1"/>
  <c r="F18" i="1"/>
  <c r="K18" i="1" s="1"/>
  <c r="F19" i="1"/>
  <c r="K19" i="1" s="1"/>
  <c r="F20" i="1"/>
  <c r="K20" i="1" s="1"/>
  <c r="F21" i="1"/>
  <c r="K21" i="1" s="1"/>
  <c r="F22" i="1"/>
  <c r="K22" i="1" s="1"/>
  <c r="F23" i="1"/>
  <c r="K23" i="1" s="1"/>
  <c r="F24" i="1"/>
  <c r="K24" i="1" s="1"/>
  <c r="F25" i="1"/>
  <c r="K25" i="1" s="1"/>
  <c r="F26" i="1"/>
  <c r="K26" i="1" s="1"/>
  <c r="F27" i="1"/>
  <c r="K27" i="1" s="1"/>
  <c r="F28" i="1"/>
  <c r="K28" i="1" s="1"/>
  <c r="F29" i="1"/>
  <c r="K29" i="1" s="1"/>
  <c r="F30" i="1"/>
  <c r="K30" i="1" s="1"/>
  <c r="F31" i="1"/>
  <c r="K31" i="1" s="1"/>
  <c r="F32" i="1"/>
  <c r="K32" i="1" s="1"/>
  <c r="F33" i="1"/>
  <c r="K33" i="1" s="1"/>
  <c r="F34" i="1"/>
  <c r="K34" i="1" s="1"/>
  <c r="F35" i="1"/>
  <c r="K35" i="1" s="1"/>
  <c r="F36" i="1"/>
  <c r="K36" i="1" s="1"/>
  <c r="F37" i="1"/>
  <c r="K37" i="1" s="1"/>
  <c r="F38" i="1"/>
  <c r="K38" i="1" s="1"/>
  <c r="F39" i="1"/>
  <c r="K39" i="1" s="1"/>
  <c r="F40" i="1"/>
  <c r="K40" i="1" s="1"/>
  <c r="F41" i="1"/>
  <c r="K41" i="1" s="1"/>
  <c r="F2" i="1"/>
  <c r="K2" i="1" s="1"/>
</calcChain>
</file>

<file path=xl/sharedStrings.xml><?xml version="1.0" encoding="utf-8"?>
<sst xmlns="http://schemas.openxmlformats.org/spreadsheetml/2006/main" count="93" uniqueCount="54">
  <si>
    <t>Công ty</t>
  </si>
  <si>
    <t>Thời gian</t>
  </si>
  <si>
    <t>Doanh thu thuần</t>
  </si>
  <si>
    <t>Lợi nhuận sau thuế</t>
  </si>
  <si>
    <t>Tổng tài sản</t>
  </si>
  <si>
    <t>Nợ phải trả</t>
  </si>
  <si>
    <t>Vốn chủ sở hữu</t>
  </si>
  <si>
    <t>Tài sản ngắn hạn</t>
  </si>
  <si>
    <t>Nợ ngắn hạn</t>
  </si>
  <si>
    <t>VNM</t>
  </si>
  <si>
    <t>Q1/2015</t>
  </si>
  <si>
    <t>Q1/2016</t>
  </si>
  <si>
    <t>Q2/2015</t>
  </si>
  <si>
    <t>Q2/2016</t>
  </si>
  <si>
    <t>Q3/2015</t>
  </si>
  <si>
    <t>Q4/2015</t>
  </si>
  <si>
    <t>Q3/2016</t>
  </si>
  <si>
    <t>Q4/2016</t>
  </si>
  <si>
    <t>Q1/2017</t>
  </si>
  <si>
    <t>Q2/2017</t>
  </si>
  <si>
    <t>Q3/2017</t>
  </si>
  <si>
    <t>Q4/2017</t>
  </si>
  <si>
    <t>Q1/2018</t>
  </si>
  <si>
    <t>Q2/2018</t>
  </si>
  <si>
    <t>Q3/2018</t>
  </si>
  <si>
    <t>Q4/2018</t>
  </si>
  <si>
    <t>Q1/2019</t>
  </si>
  <si>
    <t>Q2/2019</t>
  </si>
  <si>
    <t>Q3/2019</t>
  </si>
  <si>
    <t>Q4/2019</t>
  </si>
  <si>
    <t>Q1/2020</t>
  </si>
  <si>
    <t>Q2/2020</t>
  </si>
  <si>
    <t>Q3/2020</t>
  </si>
  <si>
    <t>Q4/2020</t>
  </si>
  <si>
    <t>Q1/2021</t>
  </si>
  <si>
    <t>Q2/2021</t>
  </si>
  <si>
    <t>Q4/2021</t>
  </si>
  <si>
    <t>Q3/2021</t>
  </si>
  <si>
    <t>Q1/2022</t>
  </si>
  <si>
    <t>Q2/2022</t>
  </si>
  <si>
    <t>Q3/2023</t>
  </si>
  <si>
    <t>Q3/2022</t>
  </si>
  <si>
    <t>Q4/2022</t>
  </si>
  <si>
    <t>Q1/2023</t>
  </si>
  <si>
    <t>Q2/2023</t>
  </si>
  <si>
    <t>Q4/2023</t>
  </si>
  <si>
    <t>Q1/2024</t>
  </si>
  <si>
    <t>Q2/2024</t>
  </si>
  <si>
    <t>Q3/2024</t>
  </si>
  <si>
    <t>Q4/2024</t>
  </si>
  <si>
    <t>Tỷ số nợ</t>
  </si>
  <si>
    <t>ROA</t>
  </si>
  <si>
    <t>ROE</t>
  </si>
  <si>
    <t>Nợ dài hạn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</si>
</sst>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Arial"/>
    </font>
    <font>
      <sz val="14"/>
      <color rgb="FF333333"/>
      <name val="Helvetica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" fontId="1" fillId="0" borderId="1" xfId="0" applyNumberFormat="1" applyFont="1" applyBorder="1"/>
    <xf numFmtId="3" fontId="2" fillId="0" borderId="0" xfId="0" applyNumberFormat="1" applyFont="1"/>
    <xf numFmtId="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02ABB-CB4C-1949-A110-1CE6304F7041}">
  <dimension ref="A1:M41"/>
  <sheetViews>
    <sheetView tabSelected="1" workbookViewId="0">
      <selection activeCell="Q1" sqref="Q1:Q1048576"/>
    </sheetView>
  </sheetViews>
  <sheetFormatPr baseColWidth="10" defaultRowHeight="16" x14ac:dyDescent="0.2"/>
  <cols>
    <col min="3" max="3" width="19.5" customWidth="1"/>
    <col min="4" max="4" width="21.1640625" customWidth="1"/>
    <col min="5" max="5" width="21.83203125" customWidth="1"/>
    <col min="6" max="6" width="22.33203125" customWidth="1"/>
    <col min="7" max="7" width="15.1640625" customWidth="1"/>
    <col min="8" max="9" width="15" customWidth="1"/>
    <col min="10" max="10" width="14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53</v>
      </c>
      <c r="J1" t="s">
        <v>8</v>
      </c>
      <c r="K1" t="s">
        <v>50</v>
      </c>
      <c r="L1" t="s">
        <v>51</v>
      </c>
      <c r="M1" t="s">
        <v>52</v>
      </c>
    </row>
    <row r="2" spans="1:13" ht="18" x14ac:dyDescent="0.2">
      <c r="A2" t="s">
        <v>9</v>
      </c>
      <c r="B2" t="s">
        <v>10</v>
      </c>
      <c r="C2" s="1">
        <v>8716035913568</v>
      </c>
      <c r="D2" s="1">
        <v>1556856874239</v>
      </c>
      <c r="E2" s="1">
        <v>27003064354813</v>
      </c>
      <c r="F2" s="2">
        <f>I2+J2</f>
        <v>5741614197631</v>
      </c>
      <c r="G2" s="3">
        <v>21261450157182</v>
      </c>
      <c r="H2" s="3">
        <v>16640748752812</v>
      </c>
      <c r="I2" s="3">
        <v>513702917767</v>
      </c>
      <c r="J2" s="3">
        <v>5227911279864</v>
      </c>
      <c r="K2">
        <f>F2/E2</f>
        <v>0.21262824552753473</v>
      </c>
      <c r="L2">
        <f>D2/E2</f>
        <v>5.7654822200262891E-2</v>
      </c>
      <c r="M2">
        <f>D2/G2</f>
        <v>7.3224397335527103E-2</v>
      </c>
    </row>
    <row r="3" spans="1:13" ht="18" x14ac:dyDescent="0.2">
      <c r="A3" t="s">
        <v>9</v>
      </c>
      <c r="B3" t="s">
        <v>12</v>
      </c>
      <c r="C3" s="1">
        <v>10500110637280</v>
      </c>
      <c r="D3" s="1">
        <v>2185170750754</v>
      </c>
      <c r="E3" s="1">
        <v>27223661690599</v>
      </c>
      <c r="F3" s="2">
        <f t="shared" ref="F3:F41" si="0">I3+J3</f>
        <v>5951379727175</v>
      </c>
      <c r="G3" s="3">
        <v>21272281963424</v>
      </c>
      <c r="H3" s="3">
        <v>16603153127894</v>
      </c>
      <c r="I3" s="3">
        <v>519478135082</v>
      </c>
      <c r="J3" s="3">
        <v>5431901592093</v>
      </c>
      <c r="K3">
        <f t="shared" ref="K3:K41" si="1">F3/E3</f>
        <v>0.2186105526439949</v>
      </c>
      <c r="L3">
        <f t="shared" ref="L3:L41" si="2">D3/E3</f>
        <v>8.0267334188500919E-2</v>
      </c>
      <c r="M3">
        <f t="shared" ref="M3:M41" si="3">D3/G3</f>
        <v>0.10272385231218858</v>
      </c>
    </row>
    <row r="4" spans="1:13" ht="18" x14ac:dyDescent="0.2">
      <c r="A4" t="s">
        <v>9</v>
      </c>
      <c r="B4" t="s">
        <v>14</v>
      </c>
      <c r="C4" s="1">
        <v>10549326431578</v>
      </c>
      <c r="D4" s="1">
        <v>2135307519344</v>
      </c>
      <c r="E4" s="1">
        <v>25958969285317</v>
      </c>
      <c r="F4" s="2">
        <f t="shared" si="0"/>
        <v>6742179621479</v>
      </c>
      <c r="G4" s="3">
        <v>19216789663838</v>
      </c>
      <c r="H4" s="3">
        <v>15029826360314</v>
      </c>
      <c r="I4" s="3">
        <v>558262473836</v>
      </c>
      <c r="J4" s="3">
        <v>6183917147643</v>
      </c>
      <c r="K4">
        <f t="shared" si="1"/>
        <v>0.25972447316282832</v>
      </c>
      <c r="L4">
        <f t="shared" si="2"/>
        <v>8.2257022452419934E-2</v>
      </c>
      <c r="M4">
        <f t="shared" si="3"/>
        <v>0.11111676594775893</v>
      </c>
    </row>
    <row r="5" spans="1:13" ht="18" x14ac:dyDescent="0.2">
      <c r="A5" t="s">
        <v>9</v>
      </c>
      <c r="B5" t="s">
        <v>15</v>
      </c>
      <c r="C5" s="1">
        <v>11098562112893</v>
      </c>
      <c r="D5" s="1">
        <v>1896074486906</v>
      </c>
      <c r="E5" s="1">
        <v>27478175944352</v>
      </c>
      <c r="F5" s="2">
        <f t="shared" si="0"/>
        <v>6554260196767</v>
      </c>
      <c r="G5" s="3">
        <v>20923915747585</v>
      </c>
      <c r="H5" s="3">
        <v>16731875433624</v>
      </c>
      <c r="I5" s="3">
        <v>549943361554</v>
      </c>
      <c r="J5" s="3">
        <v>6004316835213</v>
      </c>
      <c r="K5">
        <f t="shared" si="1"/>
        <v>0.23852602916731069</v>
      </c>
      <c r="L5">
        <f t="shared" si="2"/>
        <v>6.9002924020352546E-2</v>
      </c>
      <c r="M5">
        <f t="shared" si="3"/>
        <v>9.0617574156732175E-2</v>
      </c>
    </row>
    <row r="6" spans="1:13" ht="18" x14ac:dyDescent="0.2">
      <c r="A6" t="s">
        <v>9</v>
      </c>
      <c r="B6" t="s">
        <v>11</v>
      </c>
      <c r="C6" s="1">
        <v>10332908879616</v>
      </c>
      <c r="D6" s="1">
        <v>2157189051310</v>
      </c>
      <c r="E6" s="1">
        <v>29068835554512</v>
      </c>
      <c r="F6" s="2">
        <f t="shared" si="0"/>
        <v>6195900000302</v>
      </c>
      <c r="G6" s="3">
        <v>22872935554210</v>
      </c>
      <c r="H6" s="3">
        <v>18004264892914</v>
      </c>
      <c r="I6" s="3">
        <v>435045952349</v>
      </c>
      <c r="J6" s="3">
        <v>5760854047953</v>
      </c>
      <c r="K6">
        <f t="shared" si="1"/>
        <v>0.21314579280903759</v>
      </c>
      <c r="L6">
        <f t="shared" si="2"/>
        <v>7.4209682299267943E-2</v>
      </c>
      <c r="M6">
        <f t="shared" si="3"/>
        <v>9.4311858055882422E-2</v>
      </c>
    </row>
    <row r="7" spans="1:13" ht="18" x14ac:dyDescent="0.2">
      <c r="A7" t="s">
        <v>9</v>
      </c>
      <c r="B7" t="s">
        <v>13</v>
      </c>
      <c r="C7" s="1">
        <v>12449130059922</v>
      </c>
      <c r="D7" s="1">
        <v>2815396006252</v>
      </c>
      <c r="E7" s="1">
        <v>29798001198779</v>
      </c>
      <c r="F7" s="2">
        <f t="shared" si="0"/>
        <v>6850659845222</v>
      </c>
      <c r="G7" s="3">
        <v>22947341353557</v>
      </c>
      <c r="H7" s="3">
        <v>19513524046623</v>
      </c>
      <c r="I7" s="3">
        <v>533779982227</v>
      </c>
      <c r="J7" s="3">
        <v>6316879862995</v>
      </c>
      <c r="K7">
        <f t="shared" si="1"/>
        <v>0.22990333477477382</v>
      </c>
      <c r="L7">
        <f t="shared" si="2"/>
        <v>9.4482713369625729E-2</v>
      </c>
      <c r="M7">
        <f t="shared" si="3"/>
        <v>0.12268942021972379</v>
      </c>
    </row>
    <row r="8" spans="1:13" ht="18" x14ac:dyDescent="0.2">
      <c r="A8" t="s">
        <v>9</v>
      </c>
      <c r="B8" t="s">
        <v>16</v>
      </c>
      <c r="C8" s="1">
        <v>12204689711230</v>
      </c>
      <c r="D8" s="1">
        <v>2548780232660</v>
      </c>
      <c r="E8" s="1">
        <v>27656720742141</v>
      </c>
      <c r="F8" s="2">
        <f t="shared" si="0"/>
        <v>6901906900271</v>
      </c>
      <c r="G8" s="3">
        <v>20754813841870</v>
      </c>
      <c r="H8" s="3">
        <v>17322793032464</v>
      </c>
      <c r="I8" s="3">
        <v>531807386129</v>
      </c>
      <c r="J8" s="3">
        <v>6370099514142</v>
      </c>
      <c r="K8">
        <f t="shared" si="1"/>
        <v>0.24955622774736452</v>
      </c>
      <c r="L8">
        <f t="shared" si="2"/>
        <v>9.2157716615201654E-2</v>
      </c>
      <c r="M8">
        <f t="shared" si="3"/>
        <v>0.12280429263683321</v>
      </c>
    </row>
    <row r="9" spans="1:13" ht="18" x14ac:dyDescent="0.2">
      <c r="A9" t="s">
        <v>9</v>
      </c>
      <c r="B9" t="s">
        <v>17</v>
      </c>
      <c r="C9" s="1">
        <v>11807610749506</v>
      </c>
      <c r="D9" s="1">
        <v>1828963840162</v>
      </c>
      <c r="E9" s="1">
        <v>29378656325464</v>
      </c>
      <c r="F9" s="2">
        <f t="shared" si="0"/>
        <v>6972707036879</v>
      </c>
      <c r="G9" s="3">
        <v>22405949288585</v>
      </c>
      <c r="H9" s="3">
        <v>18673827685789</v>
      </c>
      <c r="I9" s="3">
        <v>515209053985</v>
      </c>
      <c r="J9" s="3">
        <v>6457497982894</v>
      </c>
      <c r="K9">
        <f t="shared" si="1"/>
        <v>0.2373392084251108</v>
      </c>
      <c r="L9">
        <f t="shared" si="2"/>
        <v>6.2254849912136472E-2</v>
      </c>
      <c r="M9">
        <f t="shared" si="3"/>
        <v>8.1628491460247532E-2</v>
      </c>
    </row>
    <row r="10" spans="1:13" ht="18" x14ac:dyDescent="0.2">
      <c r="A10" t="s">
        <v>9</v>
      </c>
      <c r="B10" t="s">
        <v>18</v>
      </c>
      <c r="C10" s="1">
        <v>12049368692438</v>
      </c>
      <c r="D10" s="1">
        <v>2935068264904</v>
      </c>
      <c r="E10" s="1">
        <v>31068544643384</v>
      </c>
      <c r="F10" s="2">
        <f t="shared" si="0"/>
        <v>6049114164383</v>
      </c>
      <c r="G10" s="3">
        <v>25019430479001</v>
      </c>
      <c r="H10" s="3">
        <v>20171593469610</v>
      </c>
      <c r="I10" s="3">
        <v>515094622289</v>
      </c>
      <c r="J10" s="3">
        <v>5534019542094</v>
      </c>
      <c r="K10">
        <f t="shared" si="1"/>
        <v>0.19470220552062936</v>
      </c>
      <c r="L10">
        <f t="shared" si="2"/>
        <v>9.4470735549211454E-2</v>
      </c>
      <c r="M10">
        <f t="shared" si="3"/>
        <v>0.1173115538088457</v>
      </c>
    </row>
    <row r="11" spans="1:13" ht="18" x14ac:dyDescent="0.2">
      <c r="A11" t="s">
        <v>9</v>
      </c>
      <c r="B11" t="s">
        <v>19</v>
      </c>
      <c r="C11" s="1">
        <v>13348261215191</v>
      </c>
      <c r="D11" s="1">
        <v>2922080403930</v>
      </c>
      <c r="E11" s="1">
        <v>31955032118295</v>
      </c>
      <c r="F11" s="2">
        <f t="shared" si="0"/>
        <v>7201913619763</v>
      </c>
      <c r="G11" s="3">
        <v>24753118498532</v>
      </c>
      <c r="H11" s="3">
        <v>20677934235834</v>
      </c>
      <c r="I11" s="3">
        <v>489515870457</v>
      </c>
      <c r="J11" s="3">
        <v>6712397749306</v>
      </c>
      <c r="K11">
        <f t="shared" si="1"/>
        <v>0.22537651012529375</v>
      </c>
      <c r="L11">
        <f t="shared" si="2"/>
        <v>9.1443513281810815E-2</v>
      </c>
      <c r="M11">
        <f t="shared" si="3"/>
        <v>0.11804898053969627</v>
      </c>
    </row>
    <row r="12" spans="1:13" ht="18" x14ac:dyDescent="0.2">
      <c r="A12" t="s">
        <v>9</v>
      </c>
      <c r="B12" t="s">
        <v>20</v>
      </c>
      <c r="C12" s="1">
        <v>13293077820340</v>
      </c>
      <c r="D12" s="1">
        <v>2693903760050</v>
      </c>
      <c r="E12" s="1">
        <v>31595714941194</v>
      </c>
      <c r="F12" s="2">
        <f t="shared" si="0"/>
        <v>7567098172016</v>
      </c>
      <c r="G12" s="3">
        <v>24028616769178</v>
      </c>
      <c r="H12" s="3">
        <v>18889319053176</v>
      </c>
      <c r="I12" s="3">
        <v>477619358810</v>
      </c>
      <c r="J12" s="3">
        <v>7089478813206</v>
      </c>
      <c r="K12">
        <f t="shared" si="1"/>
        <v>0.23949760865041023</v>
      </c>
      <c r="L12">
        <f t="shared" si="2"/>
        <v>8.5261680739426166E-2</v>
      </c>
      <c r="M12">
        <f t="shared" si="3"/>
        <v>0.11211231116330948</v>
      </c>
    </row>
    <row r="13" spans="1:13" ht="18" x14ac:dyDescent="0.2">
      <c r="A13" t="s">
        <v>9</v>
      </c>
      <c r="B13" t="s">
        <v>21</v>
      </c>
      <c r="C13" s="1">
        <v>12350368157140</v>
      </c>
      <c r="D13" s="1">
        <v>1744612719962</v>
      </c>
      <c r="E13" s="1">
        <v>34667318837497</v>
      </c>
      <c r="F13" s="2">
        <f t="shared" si="0"/>
        <v>10794261023636</v>
      </c>
      <c r="G13" s="3">
        <v>23873057813861</v>
      </c>
      <c r="H13" s="3">
        <v>20307434789529</v>
      </c>
      <c r="I13" s="3">
        <v>598698196544</v>
      </c>
      <c r="J13" s="3">
        <v>10195562827092</v>
      </c>
      <c r="K13">
        <f t="shared" si="1"/>
        <v>0.31136705651319851</v>
      </c>
      <c r="L13">
        <f t="shared" si="2"/>
        <v>5.0324420187781736E-2</v>
      </c>
      <c r="M13">
        <f t="shared" si="3"/>
        <v>7.3078728898694142E-2</v>
      </c>
    </row>
    <row r="14" spans="1:13" ht="18" x14ac:dyDescent="0.2">
      <c r="A14" t="s">
        <v>9</v>
      </c>
      <c r="B14" t="s">
        <v>22</v>
      </c>
      <c r="C14" s="1">
        <v>12120502020912</v>
      </c>
      <c r="D14" s="1">
        <v>2701313738808</v>
      </c>
      <c r="E14" s="1">
        <v>35328719216070</v>
      </c>
      <c r="F14" s="2">
        <f t="shared" si="0"/>
        <v>9037780154701</v>
      </c>
      <c r="G14" s="3">
        <v>26290939061369</v>
      </c>
      <c r="H14" s="3">
        <v>19974838548267</v>
      </c>
      <c r="I14" s="3">
        <v>595890865416</v>
      </c>
      <c r="J14" s="3">
        <v>8441889289285</v>
      </c>
      <c r="K14">
        <f t="shared" si="1"/>
        <v>0.25581963782570355</v>
      </c>
      <c r="L14">
        <f t="shared" si="2"/>
        <v>7.6462260697502199E-2</v>
      </c>
      <c r="M14">
        <f t="shared" si="3"/>
        <v>0.10274694762718527</v>
      </c>
    </row>
    <row r="15" spans="1:13" ht="18" x14ac:dyDescent="0.2">
      <c r="A15" t="s">
        <v>9</v>
      </c>
      <c r="B15" t="s">
        <v>23</v>
      </c>
      <c r="C15" s="1">
        <v>13702480611961</v>
      </c>
      <c r="D15" s="1">
        <v>2666357498655</v>
      </c>
      <c r="E15" s="1">
        <v>36183530062338</v>
      </c>
      <c r="F15" s="2">
        <f t="shared" si="0"/>
        <v>9647480149806</v>
      </c>
      <c r="G15" s="3">
        <v>26536049912532</v>
      </c>
      <c r="H15" s="3">
        <v>20818678622022</v>
      </c>
      <c r="I15" s="3">
        <v>784757986928</v>
      </c>
      <c r="J15" s="3">
        <v>8862722162878</v>
      </c>
      <c r="K15">
        <f t="shared" si="1"/>
        <v>0.26662628364852881</v>
      </c>
      <c r="L15">
        <f t="shared" si="2"/>
        <v>7.3689811194798421E-2</v>
      </c>
      <c r="M15">
        <f t="shared" si="3"/>
        <v>0.10048057293545327</v>
      </c>
    </row>
    <row r="16" spans="1:13" ht="18" x14ac:dyDescent="0.2">
      <c r="A16" t="s">
        <v>9</v>
      </c>
      <c r="B16" t="s">
        <v>24</v>
      </c>
      <c r="C16" s="1">
        <v>13735260285149</v>
      </c>
      <c r="D16" s="1">
        <v>2560125311355</v>
      </c>
      <c r="E16" s="1">
        <v>34026431394368</v>
      </c>
      <c r="F16" s="2">
        <f t="shared" si="0"/>
        <v>8076222108091</v>
      </c>
      <c r="G16" s="3">
        <v>25950209286277</v>
      </c>
      <c r="H16" s="3">
        <v>18360115898846</v>
      </c>
      <c r="I16" s="3">
        <v>695172060684</v>
      </c>
      <c r="J16" s="3">
        <v>7381050047407</v>
      </c>
      <c r="K16">
        <f t="shared" si="1"/>
        <v>0.23735142879037746</v>
      </c>
      <c r="L16">
        <f t="shared" si="2"/>
        <v>7.5239312688510376E-2</v>
      </c>
      <c r="M16">
        <f t="shared" si="3"/>
        <v>9.8655285709346729E-2</v>
      </c>
    </row>
    <row r="17" spans="1:13" ht="18" x14ac:dyDescent="0.2">
      <c r="A17" t="s">
        <v>9</v>
      </c>
      <c r="B17" t="s">
        <v>25</v>
      </c>
      <c r="C17" s="1">
        <v>13003707052570</v>
      </c>
      <c r="D17" s="1">
        <v>2299484602646</v>
      </c>
      <c r="E17" s="1">
        <v>37366108654179</v>
      </c>
      <c r="F17" s="2">
        <f t="shared" si="0"/>
        <v>11094739362252</v>
      </c>
      <c r="G17" s="3">
        <v>26271369291927</v>
      </c>
      <c r="H17" s="3">
        <v>20559756794837</v>
      </c>
      <c r="I17" s="3">
        <v>455147352790</v>
      </c>
      <c r="J17" s="3">
        <v>10639592009462</v>
      </c>
      <c r="K17">
        <f t="shared" si="1"/>
        <v>0.29691984961380696</v>
      </c>
      <c r="L17">
        <f t="shared" si="2"/>
        <v>6.1539311570481856E-2</v>
      </c>
      <c r="M17">
        <f t="shared" si="3"/>
        <v>8.7528159537257733E-2</v>
      </c>
    </row>
    <row r="18" spans="1:13" ht="18" x14ac:dyDescent="0.2">
      <c r="A18" t="s">
        <v>9</v>
      </c>
      <c r="B18" t="s">
        <v>26</v>
      </c>
      <c r="C18" s="1">
        <v>13189300287807</v>
      </c>
      <c r="D18" s="1">
        <v>2790729116151</v>
      </c>
      <c r="E18" s="1">
        <v>38305261792855</v>
      </c>
      <c r="F18" s="2">
        <f t="shared" si="0"/>
        <v>9382030969362</v>
      </c>
      <c r="G18" s="3">
        <v>28923230823493</v>
      </c>
      <c r="H18" s="3">
        <v>22040432596172</v>
      </c>
      <c r="I18" s="3">
        <v>565361558092</v>
      </c>
      <c r="J18" s="3">
        <v>8816669411270</v>
      </c>
      <c r="K18">
        <f t="shared" si="1"/>
        <v>0.24492799501273765</v>
      </c>
      <c r="L18">
        <f t="shared" si="2"/>
        <v>7.2854980896424754E-2</v>
      </c>
      <c r="M18">
        <f t="shared" si="3"/>
        <v>9.6487461348343559E-2</v>
      </c>
    </row>
    <row r="19" spans="1:13" ht="18" x14ac:dyDescent="0.2">
      <c r="A19" t="s">
        <v>9</v>
      </c>
      <c r="B19" t="s">
        <v>27</v>
      </c>
      <c r="C19" s="1">
        <v>14598960549757</v>
      </c>
      <c r="D19" s="1">
        <v>2898738430907</v>
      </c>
      <c r="E19" s="1">
        <v>40186475665451</v>
      </c>
      <c r="F19" s="2">
        <f t="shared" si="0"/>
        <v>11252755465246</v>
      </c>
      <c r="G19" s="3">
        <v>28933720200205</v>
      </c>
      <c r="H19" s="3">
        <v>22089274019449</v>
      </c>
      <c r="I19" s="3">
        <v>436616077486</v>
      </c>
      <c r="J19" s="3">
        <v>10816139387760</v>
      </c>
      <c r="K19">
        <f t="shared" si="1"/>
        <v>0.28001349406512366</v>
      </c>
      <c r="L19">
        <f t="shared" si="2"/>
        <v>7.2132188327206179E-2</v>
      </c>
      <c r="M19">
        <f t="shared" si="3"/>
        <v>0.10018547255069059</v>
      </c>
    </row>
    <row r="20" spans="1:13" ht="18" x14ac:dyDescent="0.2">
      <c r="A20" t="s">
        <v>9</v>
      </c>
      <c r="B20" t="s">
        <v>28</v>
      </c>
      <c r="C20" s="1">
        <v>14290900447018</v>
      </c>
      <c r="D20" s="1">
        <v>2690192377294</v>
      </c>
      <c r="E20" s="1">
        <v>40101852847756</v>
      </c>
      <c r="F20" s="2">
        <f t="shared" si="0"/>
        <v>12261224601874</v>
      </c>
      <c r="G20" s="3">
        <v>27840628245882</v>
      </c>
      <c r="H20" s="3">
        <v>22146344620561</v>
      </c>
      <c r="I20" s="3">
        <v>337162323893</v>
      </c>
      <c r="J20" s="3">
        <v>11924062277981</v>
      </c>
      <c r="K20">
        <f t="shared" si="1"/>
        <v>0.30575207206567034</v>
      </c>
      <c r="L20">
        <f t="shared" si="2"/>
        <v>6.7083992041642948E-2</v>
      </c>
      <c r="M20">
        <f t="shared" si="3"/>
        <v>9.6628292778986241E-2</v>
      </c>
    </row>
    <row r="21" spans="1:13" ht="18" x14ac:dyDescent="0.2">
      <c r="A21" t="s">
        <v>9</v>
      </c>
      <c r="B21" t="s">
        <v>29</v>
      </c>
      <c r="C21" s="1">
        <v>14238961478162</v>
      </c>
      <c r="D21" s="1">
        <v>2201515747637</v>
      </c>
      <c r="E21" s="1">
        <v>44699873386034</v>
      </c>
      <c r="F21" s="2">
        <f t="shared" si="0"/>
        <v>14968618181670</v>
      </c>
      <c r="G21" s="3">
        <v>29731255204364</v>
      </c>
      <c r="H21" s="3">
        <v>24721565376552</v>
      </c>
      <c r="I21" s="3">
        <v>525766348310</v>
      </c>
      <c r="J21" s="3">
        <v>14442851833360</v>
      </c>
      <c r="K21">
        <f t="shared" si="1"/>
        <v>0.33486936422389924</v>
      </c>
      <c r="L21">
        <f t="shared" si="2"/>
        <v>4.925105108518809E-2</v>
      </c>
      <c r="M21">
        <f t="shared" si="3"/>
        <v>7.4047184772537217E-2</v>
      </c>
    </row>
    <row r="22" spans="1:13" ht="18" x14ac:dyDescent="0.2">
      <c r="A22" t="s">
        <v>9</v>
      </c>
      <c r="B22" t="s">
        <v>30</v>
      </c>
      <c r="C22" s="1">
        <v>14153099953575</v>
      </c>
      <c r="D22" s="1">
        <v>2764911978211</v>
      </c>
      <c r="E22" s="1">
        <v>46073727018989</v>
      </c>
      <c r="F22" s="2">
        <f t="shared" si="0"/>
        <v>13826962983067</v>
      </c>
      <c r="G22" s="3">
        <v>32246764035922</v>
      </c>
      <c r="H22" s="3">
        <v>26461638721175</v>
      </c>
      <c r="I22" s="3">
        <v>511989562860</v>
      </c>
      <c r="J22" s="3">
        <v>13314973420207</v>
      </c>
      <c r="K22">
        <f t="shared" si="1"/>
        <v>0.3001051548829185</v>
      </c>
      <c r="L22">
        <f t="shared" si="2"/>
        <v>6.0010599469659982E-2</v>
      </c>
      <c r="M22">
        <f t="shared" si="3"/>
        <v>8.5742308131475292E-2</v>
      </c>
    </row>
    <row r="23" spans="1:13" ht="18" x14ac:dyDescent="0.2">
      <c r="A23" t="s">
        <v>9</v>
      </c>
      <c r="B23" t="s">
        <v>31</v>
      </c>
      <c r="C23" s="1">
        <v>15495233758799</v>
      </c>
      <c r="D23" s="1">
        <v>3071714073426</v>
      </c>
      <c r="E23" s="1">
        <v>49596809946225</v>
      </c>
      <c r="F23" s="2">
        <f t="shared" si="0"/>
        <v>17241110573049</v>
      </c>
      <c r="G23" s="3">
        <v>32355699373176</v>
      </c>
      <c r="H23" s="3">
        <v>30073376341979</v>
      </c>
      <c r="I23" s="3">
        <v>559389313551</v>
      </c>
      <c r="J23" s="3">
        <v>16681721259498</v>
      </c>
      <c r="K23">
        <f t="shared" si="1"/>
        <v>0.34762539348281785</v>
      </c>
      <c r="L23">
        <f t="shared" si="2"/>
        <v>6.1933702525555273E-2</v>
      </c>
      <c r="M23">
        <f t="shared" si="3"/>
        <v>9.4935795947361221E-2</v>
      </c>
    </row>
    <row r="24" spans="1:13" ht="18" x14ac:dyDescent="0.2">
      <c r="A24" t="s">
        <v>9</v>
      </c>
      <c r="B24" t="s">
        <v>32</v>
      </c>
      <c r="C24" s="1">
        <v>15563157998229</v>
      </c>
      <c r="D24" s="1">
        <v>3077140792284</v>
      </c>
      <c r="E24" s="1">
        <v>50396457516921</v>
      </c>
      <c r="F24" s="2">
        <f t="shared" si="0"/>
        <v>18704936040491</v>
      </c>
      <c r="G24" s="3">
        <v>31691521476430</v>
      </c>
      <c r="H24" s="3">
        <v>31541319633765</v>
      </c>
      <c r="I24" s="3">
        <v>540790459406</v>
      </c>
      <c r="J24" s="3">
        <v>18164145581085</v>
      </c>
      <c r="K24">
        <f t="shared" si="1"/>
        <v>0.37115577090335511</v>
      </c>
      <c r="L24">
        <f t="shared" si="2"/>
        <v>6.1058672452341041E-2</v>
      </c>
      <c r="M24">
        <f t="shared" si="3"/>
        <v>9.7096657052977667E-2</v>
      </c>
    </row>
    <row r="25" spans="1:13" ht="18" x14ac:dyDescent="0.2">
      <c r="A25" t="s">
        <v>9</v>
      </c>
      <c r="B25" t="s">
        <v>33</v>
      </c>
      <c r="C25" s="1">
        <v>14424794514944</v>
      </c>
      <c r="D25" s="1">
        <v>2185170012447</v>
      </c>
      <c r="E25" s="1">
        <v>48432480673629</v>
      </c>
      <c r="F25" s="2">
        <f t="shared" si="0"/>
        <v>14785358443807</v>
      </c>
      <c r="G25" s="3">
        <v>33647122229822</v>
      </c>
      <c r="H25" s="3">
        <v>29665725805058</v>
      </c>
      <c r="I25" s="3">
        <v>572712158332</v>
      </c>
      <c r="J25" s="3">
        <v>14212646285475</v>
      </c>
      <c r="K25">
        <f t="shared" si="1"/>
        <v>0.30527774415357334</v>
      </c>
      <c r="L25">
        <f t="shared" si="2"/>
        <v>4.5117862683354215E-2</v>
      </c>
      <c r="M25">
        <f t="shared" si="3"/>
        <v>6.4943741622879345E-2</v>
      </c>
    </row>
    <row r="26" spans="1:13" ht="18" x14ac:dyDescent="0.2">
      <c r="A26" t="s">
        <v>9</v>
      </c>
      <c r="B26" t="s">
        <v>34</v>
      </c>
      <c r="C26" s="1">
        <v>13190270122852</v>
      </c>
      <c r="D26" s="1">
        <v>2575916578653</v>
      </c>
      <c r="E26" s="1">
        <v>51051210880651</v>
      </c>
      <c r="F26" s="2">
        <f t="shared" si="0"/>
        <v>17087270259224</v>
      </c>
      <c r="G26" s="3">
        <v>33963940621427</v>
      </c>
      <c r="H26" s="3">
        <v>32834546632146</v>
      </c>
      <c r="I26" s="3">
        <v>554453926269</v>
      </c>
      <c r="J26" s="3">
        <v>16532816332955</v>
      </c>
      <c r="K26">
        <f t="shared" si="1"/>
        <v>0.33470842247348676</v>
      </c>
      <c r="L26">
        <f t="shared" si="2"/>
        <v>5.0457502069344691E-2</v>
      </c>
      <c r="M26">
        <f t="shared" si="3"/>
        <v>7.5842688790591001E-2</v>
      </c>
    </row>
    <row r="27" spans="1:13" ht="18" x14ac:dyDescent="0.2">
      <c r="A27" t="s">
        <v>9</v>
      </c>
      <c r="B27" t="s">
        <v>35</v>
      </c>
      <c r="C27" s="1">
        <v>15715806166465</v>
      </c>
      <c r="D27" s="1">
        <v>2834789042592</v>
      </c>
      <c r="E27" s="1">
        <v>53046669029192</v>
      </c>
      <c r="F27" s="2">
        <f t="shared" si="0"/>
        <v>18671295879023</v>
      </c>
      <c r="G27" s="3">
        <v>34375373150169</v>
      </c>
      <c r="H27" s="3">
        <v>35042535233833</v>
      </c>
      <c r="I27" s="3">
        <v>544274607850</v>
      </c>
      <c r="J27" s="3">
        <v>18127021271173</v>
      </c>
      <c r="K27">
        <f t="shared" si="1"/>
        <v>0.35197866747765139</v>
      </c>
      <c r="L27">
        <f t="shared" si="2"/>
        <v>5.3439529653256705E-2</v>
      </c>
      <c r="M27">
        <f t="shared" si="3"/>
        <v>8.2465695141932249E-2</v>
      </c>
    </row>
    <row r="28" spans="1:13" ht="18" x14ac:dyDescent="0.2">
      <c r="A28" t="s">
        <v>9</v>
      </c>
      <c r="B28" t="s">
        <v>37</v>
      </c>
      <c r="C28" s="1">
        <v>16194052003559</v>
      </c>
      <c r="D28" s="1">
        <v>2925766998017</v>
      </c>
      <c r="E28" s="1">
        <v>52067759208240</v>
      </c>
      <c r="F28" s="2">
        <f t="shared" si="0"/>
        <v>18192841472371</v>
      </c>
      <c r="G28" s="3">
        <v>33874917735869</v>
      </c>
      <c r="H28" s="3">
        <v>34446542339559</v>
      </c>
      <c r="I28" s="3">
        <v>426749546167</v>
      </c>
      <c r="J28" s="3">
        <v>17766091926204</v>
      </c>
      <c r="K28">
        <f t="shared" si="1"/>
        <v>0.34940703708047965</v>
      </c>
      <c r="L28">
        <f t="shared" si="2"/>
        <v>5.6191528932821477E-2</v>
      </c>
      <c r="M28">
        <f t="shared" si="3"/>
        <v>8.6369715222038887E-2</v>
      </c>
    </row>
    <row r="29" spans="1:13" ht="18" x14ac:dyDescent="0.2">
      <c r="A29" t="s">
        <v>9</v>
      </c>
      <c r="B29" t="s">
        <v>36</v>
      </c>
      <c r="C29" s="1">
        <v>15819036553270</v>
      </c>
      <c r="D29" s="1">
        <v>2196004480636</v>
      </c>
      <c r="E29" s="1">
        <v>53332403438219</v>
      </c>
      <c r="F29" s="2">
        <f t="shared" si="0"/>
        <v>17482289188835</v>
      </c>
      <c r="G29" s="3">
        <v>35850114249384</v>
      </c>
      <c r="H29" s="3">
        <v>36109910649785</v>
      </c>
      <c r="I29" s="3">
        <v>413872193316</v>
      </c>
      <c r="J29" s="3">
        <v>17068416995519</v>
      </c>
      <c r="K29">
        <f t="shared" si="1"/>
        <v>0.32779863763474915</v>
      </c>
      <c r="L29">
        <f t="shared" si="2"/>
        <v>4.1175801933994637E-2</v>
      </c>
      <c r="M29">
        <f t="shared" si="3"/>
        <v>6.1255159896003213E-2</v>
      </c>
    </row>
    <row r="30" spans="1:13" ht="18" x14ac:dyDescent="0.2">
      <c r="A30" t="s">
        <v>9</v>
      </c>
      <c r="B30" t="s">
        <v>38</v>
      </c>
      <c r="C30" s="1">
        <v>13877825823198</v>
      </c>
      <c r="D30" s="1">
        <v>2265518089530</v>
      </c>
      <c r="E30" s="1">
        <v>52995528231171</v>
      </c>
      <c r="F30" s="2">
        <f t="shared" si="0"/>
        <v>18018316689141</v>
      </c>
      <c r="G30" s="3">
        <v>34977211542030</v>
      </c>
      <c r="H30" s="3">
        <v>35452395671778</v>
      </c>
      <c r="I30" s="3">
        <v>410402534593</v>
      </c>
      <c r="J30" s="3">
        <v>17607914154548</v>
      </c>
      <c r="K30">
        <f t="shared" si="1"/>
        <v>0.33999692597729325</v>
      </c>
      <c r="L30">
        <f t="shared" si="2"/>
        <v>4.2749231211501801E-2</v>
      </c>
      <c r="M30">
        <f t="shared" si="3"/>
        <v>6.4771260762387067E-2</v>
      </c>
    </row>
    <row r="31" spans="1:13" ht="18" x14ac:dyDescent="0.2">
      <c r="A31" t="s">
        <v>9</v>
      </c>
      <c r="B31" t="s">
        <v>39</v>
      </c>
      <c r="C31" s="1">
        <v>14930275292637</v>
      </c>
      <c r="D31" s="1">
        <v>2082981126147</v>
      </c>
      <c r="E31" s="1">
        <v>53842175999663</v>
      </c>
      <c r="F31" s="2">
        <f t="shared" si="0"/>
        <v>17021656898873</v>
      </c>
      <c r="G31" s="3">
        <v>36820519100790</v>
      </c>
      <c r="H31" s="3">
        <v>36871285863860</v>
      </c>
      <c r="I31" s="3">
        <v>377445998543</v>
      </c>
      <c r="J31" s="3">
        <v>16644210900330</v>
      </c>
      <c r="K31">
        <f t="shared" si="1"/>
        <v>0.3161398398716192</v>
      </c>
      <c r="L31">
        <f t="shared" si="2"/>
        <v>3.8686793159326202E-2</v>
      </c>
      <c r="M31">
        <f t="shared" si="3"/>
        <v>5.6571204779736761E-2</v>
      </c>
    </row>
    <row r="32" spans="1:13" ht="18" x14ac:dyDescent="0.2">
      <c r="A32" t="s">
        <v>9</v>
      </c>
      <c r="B32" t="s">
        <v>41</v>
      </c>
      <c r="C32" s="1">
        <v>16079491424130</v>
      </c>
      <c r="D32" s="1">
        <v>2298398907051</v>
      </c>
      <c r="E32" s="1">
        <v>51199903422164</v>
      </c>
      <c r="F32" s="2">
        <f t="shared" si="0"/>
        <v>17355518040395</v>
      </c>
      <c r="G32" s="3">
        <v>33844385381769</v>
      </c>
      <c r="H32" s="3">
        <v>34373292456500</v>
      </c>
      <c r="I32" s="3">
        <v>372252790415</v>
      </c>
      <c r="J32" s="3">
        <v>16983265249980</v>
      </c>
      <c r="K32">
        <f t="shared" si="1"/>
        <v>0.33897560113134795</v>
      </c>
      <c r="L32">
        <f t="shared" si="2"/>
        <v>4.4890688330010461E-2</v>
      </c>
      <c r="M32">
        <f t="shared" si="3"/>
        <v>6.791078878002263E-2</v>
      </c>
    </row>
    <row r="33" spans="1:13" ht="18" x14ac:dyDescent="0.2">
      <c r="A33" t="s">
        <v>9</v>
      </c>
      <c r="B33" t="s">
        <v>42</v>
      </c>
      <c r="C33" s="1">
        <v>15068654657453</v>
      </c>
      <c r="D33" s="1">
        <v>1869125571613</v>
      </c>
      <c r="E33" s="1">
        <v>48482664236220</v>
      </c>
      <c r="F33" s="2">
        <f t="shared" si="0"/>
        <v>15666145881135</v>
      </c>
      <c r="G33" s="3">
        <v>32816518355085</v>
      </c>
      <c r="H33" s="3">
        <v>31560382174201</v>
      </c>
      <c r="I33" s="3">
        <v>357722799611</v>
      </c>
      <c r="J33" s="3">
        <v>15308423081524</v>
      </c>
      <c r="K33">
        <f t="shared" si="1"/>
        <v>0.3231288157929092</v>
      </c>
      <c r="L33">
        <f t="shared" si="2"/>
        <v>3.8552451707400813E-2</v>
      </c>
      <c r="M33">
        <f t="shared" si="3"/>
        <v>5.6956851771674137E-2</v>
      </c>
    </row>
    <row r="34" spans="1:13" ht="18" x14ac:dyDescent="0.2">
      <c r="A34" t="s">
        <v>9</v>
      </c>
      <c r="B34" t="s">
        <v>43</v>
      </c>
      <c r="C34" s="1">
        <v>13918391926640</v>
      </c>
      <c r="D34" s="1">
        <v>1856733257236</v>
      </c>
      <c r="E34" s="1">
        <v>49264785492099</v>
      </c>
      <c r="F34" s="2">
        <f t="shared" si="0"/>
        <v>14754559329281</v>
      </c>
      <c r="G34" s="3">
        <v>34510226162818</v>
      </c>
      <c r="H34" s="3">
        <v>32394853632375</v>
      </c>
      <c r="I34" s="3">
        <v>346676448782</v>
      </c>
      <c r="J34" s="3">
        <v>14407882880499</v>
      </c>
      <c r="K34">
        <f t="shared" si="1"/>
        <v>0.2994950486823354</v>
      </c>
      <c r="L34">
        <f t="shared" si="2"/>
        <v>3.7688852974581195E-2</v>
      </c>
      <c r="M34">
        <f t="shared" si="3"/>
        <v>5.3802407682754662E-2</v>
      </c>
    </row>
    <row r="35" spans="1:13" ht="18" x14ac:dyDescent="0.2">
      <c r="A35" t="s">
        <v>9</v>
      </c>
      <c r="B35" t="s">
        <v>44</v>
      </c>
      <c r="C35" s="1">
        <v>15194824955693</v>
      </c>
      <c r="D35" s="1">
        <v>2198811184561</v>
      </c>
      <c r="E35" s="1">
        <v>50968781757650</v>
      </c>
      <c r="F35" s="2">
        <f t="shared" si="0"/>
        <v>14308732050657</v>
      </c>
      <c r="G35" s="3">
        <v>36660049706993</v>
      </c>
      <c r="H35" s="3">
        <v>33403479517290</v>
      </c>
      <c r="I35" s="3">
        <v>565949667885</v>
      </c>
      <c r="J35" s="3">
        <v>13742782382772</v>
      </c>
      <c r="K35">
        <f t="shared" si="1"/>
        <v>0.28073521785733824</v>
      </c>
      <c r="L35">
        <f t="shared" si="2"/>
        <v>4.3140351971056798E-2</v>
      </c>
      <c r="M35">
        <f t="shared" si="3"/>
        <v>5.9978401615248519E-2</v>
      </c>
    </row>
    <row r="36" spans="1:13" ht="18" x14ac:dyDescent="0.2">
      <c r="A36" t="s">
        <v>9</v>
      </c>
      <c r="B36" t="s">
        <v>40</v>
      </c>
      <c r="C36" s="1">
        <v>15636987684682</v>
      </c>
      <c r="D36" s="1">
        <v>2492254015001</v>
      </c>
      <c r="E36" s="1">
        <v>54967436003598</v>
      </c>
      <c r="F36" s="2">
        <f t="shared" si="0"/>
        <v>20964371994291</v>
      </c>
      <c r="G36" s="3">
        <v>34003064009307</v>
      </c>
      <c r="H36" s="3">
        <v>37680161943052</v>
      </c>
      <c r="I36" s="3">
        <v>565044030094</v>
      </c>
      <c r="J36" s="3">
        <v>20399327964197</v>
      </c>
      <c r="K36">
        <f t="shared" si="1"/>
        <v>0.38139621416794367</v>
      </c>
      <c r="L36">
        <f t="shared" si="2"/>
        <v>4.5340554266308959E-2</v>
      </c>
      <c r="M36">
        <f t="shared" si="3"/>
        <v>7.32949834849837E-2</v>
      </c>
    </row>
    <row r="37" spans="1:13" ht="18" x14ac:dyDescent="0.2">
      <c r="A37" t="s">
        <v>9</v>
      </c>
      <c r="B37" t="s">
        <v>45</v>
      </c>
      <c r="C37" s="1">
        <v>15618710944490</v>
      </c>
      <c r="D37" s="1">
        <v>2326013960066</v>
      </c>
      <c r="E37" s="1">
        <v>52673371104460</v>
      </c>
      <c r="F37" s="2">
        <f t="shared" si="0"/>
        <v>17647627338990</v>
      </c>
      <c r="G37" s="3">
        <v>35025743765470</v>
      </c>
      <c r="H37" s="3">
        <v>35935879621477</v>
      </c>
      <c r="I37" s="3">
        <v>508937364128</v>
      </c>
      <c r="J37" s="3">
        <v>17138689974862</v>
      </c>
      <c r="K37">
        <f t="shared" si="1"/>
        <v>0.33503888148703903</v>
      </c>
      <c r="L37">
        <f t="shared" si="2"/>
        <v>4.4159200584544513E-2</v>
      </c>
      <c r="M37">
        <f t="shared" si="3"/>
        <v>6.6408695719378047E-2</v>
      </c>
    </row>
    <row r="38" spans="1:13" ht="18" x14ac:dyDescent="0.2">
      <c r="A38" t="s">
        <v>9</v>
      </c>
      <c r="B38" t="s">
        <v>46</v>
      </c>
      <c r="C38" s="1">
        <v>14112411317058</v>
      </c>
      <c r="D38" s="1">
        <v>2194666965600</v>
      </c>
      <c r="E38" s="1">
        <v>51653869771730</v>
      </c>
      <c r="F38" s="2">
        <f t="shared" si="0"/>
        <v>15786279136236</v>
      </c>
      <c r="G38" s="3">
        <v>35867590635494</v>
      </c>
      <c r="H38" s="3">
        <v>35013917574413</v>
      </c>
      <c r="I38" s="3">
        <v>491891149713</v>
      </c>
      <c r="J38" s="3">
        <v>15294387986523</v>
      </c>
      <c r="K38">
        <f t="shared" si="1"/>
        <v>0.30561658218443455</v>
      </c>
      <c r="L38">
        <f t="shared" si="2"/>
        <v>4.2487948633833712E-2</v>
      </c>
      <c r="M38">
        <f t="shared" si="3"/>
        <v>6.1188023134963306E-2</v>
      </c>
    </row>
    <row r="39" spans="1:13" ht="18" x14ac:dyDescent="0.2">
      <c r="A39" t="s">
        <v>9</v>
      </c>
      <c r="B39" t="s">
        <v>47</v>
      </c>
      <c r="C39" s="1">
        <v>16655787772473</v>
      </c>
      <c r="D39" s="1">
        <v>2670475017284</v>
      </c>
      <c r="E39" s="1">
        <v>54193954187994</v>
      </c>
      <c r="F39" s="2">
        <f t="shared" si="0"/>
        <v>15856506854537</v>
      </c>
      <c r="G39" s="3">
        <v>38337447333457</v>
      </c>
      <c r="H39" s="3">
        <v>37332761258942</v>
      </c>
      <c r="I39" s="3">
        <v>453196649401</v>
      </c>
      <c r="J39" s="3">
        <v>15403310205136</v>
      </c>
      <c r="K39">
        <f t="shared" si="1"/>
        <v>0.29258811415628005</v>
      </c>
      <c r="L39">
        <f t="shared" si="2"/>
        <v>4.9276253362512727E-2</v>
      </c>
      <c r="M39">
        <f t="shared" si="3"/>
        <v>6.9657089948017559E-2</v>
      </c>
    </row>
    <row r="40" spans="1:13" ht="18" x14ac:dyDescent="0.2">
      <c r="A40" t="s">
        <v>9</v>
      </c>
      <c r="B40" t="s">
        <v>48</v>
      </c>
      <c r="C40" s="1">
        <v>15537337313473</v>
      </c>
      <c r="D40" s="1">
        <v>2403519104884</v>
      </c>
      <c r="E40" s="1">
        <v>57677080306452</v>
      </c>
      <c r="F40" s="2">
        <f t="shared" si="0"/>
        <v>22432804394570</v>
      </c>
      <c r="G40" s="3">
        <v>35244275911882</v>
      </c>
      <c r="H40" s="3">
        <v>40582371278735</v>
      </c>
      <c r="I40" s="3">
        <v>411532810496</v>
      </c>
      <c r="J40" s="3">
        <v>22021271584074</v>
      </c>
      <c r="K40">
        <f t="shared" si="1"/>
        <v>0.38893793297752233</v>
      </c>
      <c r="L40">
        <f t="shared" si="2"/>
        <v>4.1671996781278337E-2</v>
      </c>
      <c r="M40">
        <f t="shared" si="3"/>
        <v>6.8196013187880392E-2</v>
      </c>
    </row>
    <row r="41" spans="1:13" ht="18" x14ac:dyDescent="0.2">
      <c r="A41" t="s">
        <v>9</v>
      </c>
      <c r="B41" t="s">
        <v>49</v>
      </c>
      <c r="C41" s="1">
        <v>15477073125441</v>
      </c>
      <c r="D41" s="1">
        <v>2123649268482</v>
      </c>
      <c r="E41" s="1">
        <v>55049061537061</v>
      </c>
      <c r="F41" s="2">
        <f t="shared" si="0"/>
        <v>18874658707398</v>
      </c>
      <c r="G41" s="3">
        <v>36174402829663</v>
      </c>
      <c r="H41" s="3">
        <v>37553650065098</v>
      </c>
      <c r="I41" s="3">
        <v>415111869758</v>
      </c>
      <c r="J41" s="3">
        <v>18459546837640</v>
      </c>
      <c r="K41">
        <f t="shared" si="1"/>
        <v>0.3428697634507521</v>
      </c>
      <c r="L41">
        <f t="shared" si="2"/>
        <v>3.8577392769035365E-2</v>
      </c>
      <c r="M41">
        <f t="shared" si="3"/>
        <v>5.870585558749316E-2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2026-05-29T22:08:53Z</dcterms:created>
  <dcterms:modified xsi:type="dcterms:W3CDTF">2026-05-31T03:16:51Z</dcterms:modified>
</cp:coreProperties>
</file>